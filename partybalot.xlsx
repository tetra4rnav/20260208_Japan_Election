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1cid\Downloads\2026syuinsen\"/>
    </mc:Choice>
  </mc:AlternateContent>
  <xr:revisionPtr revIDLastSave="0" documentId="13_ncr:1_{DD4C4199-9269-4069-A36A-0771E123FF5F}" xr6:coauthVersionLast="47" xr6:coauthVersionMax="47" xr10:uidLastSave="{00000000-0000-0000-0000-000000000000}"/>
  <bookViews>
    <workbookView xWindow="21900" yWindow="-16200" windowWidth="14610" windowHeight="15825" xr2:uid="{E0BBA5BF-FEC3-40D0-BDF1-B38EFE1E109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" l="1"/>
  <c r="P5" i="2"/>
  <c r="P4" i="2"/>
  <c r="P3" i="2"/>
  <c r="P2" i="2"/>
  <c r="M2" i="2"/>
  <c r="M6" i="2"/>
  <c r="M5" i="2"/>
  <c r="M4" i="2"/>
  <c r="M3" i="2"/>
  <c r="E2" i="2"/>
  <c r="I2" i="2"/>
  <c r="E3" i="2"/>
  <c r="I3" i="2"/>
  <c r="E4" i="2"/>
  <c r="I4" i="2"/>
  <c r="E5" i="2"/>
  <c r="I5" i="2"/>
  <c r="E6" i="2"/>
  <c r="I6" i="2"/>
</calcChain>
</file>

<file path=xl/sharedStrings.xml><?xml version="1.0" encoding="utf-8"?>
<sst xmlns="http://schemas.openxmlformats.org/spreadsheetml/2006/main" count="16" uniqueCount="16">
  <si>
    <t>balot_jimin</t>
  </si>
  <si>
    <t>balot_komei</t>
  </si>
  <si>
    <t>batot_ishin</t>
  </si>
  <si>
    <t>balot_yotousum</t>
  </si>
  <si>
    <t>seat_jimin</t>
  </si>
  <si>
    <t>seat_komei</t>
  </si>
  <si>
    <t>seat_ishin</t>
  </si>
  <si>
    <t>n_balot</t>
  </si>
  <si>
    <t>n_voter</t>
  </si>
  <si>
    <t>n_osbalot</t>
  </si>
  <si>
    <t>n_osvoters</t>
  </si>
  <si>
    <t>seat_yotousum</t>
  </si>
  <si>
    <t>year</t>
  </si>
  <si>
    <t>seat_total</t>
  </si>
  <si>
    <t>p_vote</t>
  </si>
  <si>
    <t>p_osvote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</si>
</sst>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_ "/>
    <numFmt numFmtId="177" formatCode="#,##0.0000000_ 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ＭＳ 明朝"/>
      <family val="1"/>
      <charset val="128"/>
    </font>
    <font>
      <sz val="9"/>
      <color rgb="FF0F1419"/>
      <name val="Segoe UI"/>
      <family val="2"/>
    </font>
    <font>
      <sz val="7"/>
      <color rgb="FF333333"/>
      <name val="Meiryo"/>
      <family val="2"/>
    </font>
    <font>
      <sz val="8"/>
      <color rgb="FF000000"/>
      <name val="Arial"/>
      <family val="2"/>
    </font>
    <font>
      <sz val="10"/>
      <color theme="1"/>
      <name val="IPAmj明朝"/>
      <family val="1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13">
    <xf numFmtId="0" fontId="0" fillId="0" borderId="0" xfId="0"/>
    <xf numFmtId="4" fontId="0" fillId="0" borderId="0" xfId="0" applyNumberFormat="1"/>
    <xf numFmtId="3" fontId="0" fillId="0" borderId="0" xfId="0" applyNumberFormat="1"/>
    <xf numFmtId="166" fontId="18" fillId="0" borderId="10" xfId="42" applyNumberFormat="1" applyBorder="1" applyAlignment="1">
      <alignment horizontal="right" vertical="center"/>
    </xf>
    <xf numFmtId="3" fontId="19" fillId="0" borderId="0" xfId="0" applyNumberFormat="1" applyFont="1"/>
    <xf numFmtId="166" fontId="18" fillId="0" borderId="10" xfId="42" applyNumberFormat="1" applyBorder="1" applyAlignment="1">
      <alignment horizontal="right" vertical="center"/>
    </xf>
    <xf numFmtId="3" fontId="20" fillId="0" borderId="0" xfId="0" applyNumberFormat="1" applyFont="1"/>
    <xf numFmtId="3" fontId="21" fillId="0" borderId="0" xfId="0" applyNumberFormat="1" applyFont="1"/>
    <xf numFmtId="166" fontId="0" fillId="0" borderId="10" xfId="0" applyNumberFormat="1" applyBorder="1" applyAlignment="1">
      <alignment horizontal="right" vertical="center"/>
    </xf>
    <xf numFmtId="3" fontId="22" fillId="0" borderId="10" xfId="0" applyNumberFormat="1" applyFont="1" applyBorder="1" applyAlignment="1">
      <alignment horizontal="right" vertical="center"/>
    </xf>
    <xf numFmtId="166" fontId="18" fillId="0" borderId="10" xfId="42" applyNumberFormat="1" applyFill="1" applyBorder="1" applyAlignment="1">
      <alignment horizontal="right" vertical="center"/>
    </xf>
    <xf numFmtId="166" fontId="18" fillId="0" borderId="10" xfId="42" applyNumberFormat="1" applyFill="1" applyBorder="1" applyAlignment="1">
      <alignment horizontal="right" vertical="center"/>
    </xf>
    <xf numFmtId="177" fontId="18" fillId="0" borderId="0" xfId="42" applyNumberFormat="1" applyFill="1" applyBorder="1" applyAlignment="1">
      <alignment horizontal="righ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F98DBBB-F0EF-49B8-A4B1-6862E7131DA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A628-CF7B-4E67-BACD-5FE68181B0D1}">
  <dimension ref="A1:P6"/>
  <sheetViews>
    <sheetView tabSelected="1" workbookViewId="0">
      <selection activeCell="O3" sqref="O3"/>
    </sheetView>
  </sheetViews>
  <sheetFormatPr defaultRowHeight="14.5"/>
  <cols>
    <col min="1" max="1" width="4.81640625" bestFit="1" customWidth="1"/>
    <col min="2" max="2" width="12.54296875" customWidth="1"/>
    <col min="3" max="3" width="10.81640625" bestFit="1" customWidth="1"/>
    <col min="4" max="4" width="11.453125" bestFit="1" customWidth="1"/>
    <col min="5" max="5" width="14.54296875" bestFit="1" customWidth="1"/>
    <col min="6" max="10" width="11.453125" customWidth="1"/>
    <col min="11" max="11" width="13.81640625" customWidth="1"/>
    <col min="12" max="12" width="17.453125" customWidth="1"/>
    <col min="13" max="13" width="12" customWidth="1"/>
    <col min="14" max="14" width="9.26953125" bestFit="1" customWidth="1"/>
    <col min="15" max="15" width="9.90625" bestFit="1" customWidth="1"/>
  </cols>
  <sheetData>
    <row r="1" spans="1:16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</v>
      </c>
      <c r="J1" t="s">
        <v>13</v>
      </c>
      <c r="K1" t="s">
        <v>7</v>
      </c>
      <c r="L1" t="s">
        <v>8</v>
      </c>
      <c r="M1" t="s">
        <v>14</v>
      </c>
      <c r="N1" t="s">
        <v>9</v>
      </c>
      <c r="O1" t="s">
        <v>10</v>
      </c>
      <c r="P1" t="s">
        <v>15</v>
      </c>
    </row>
    <row r="2" spans="1:16">
      <c r="A2">
        <v>2014</v>
      </c>
      <c r="B2">
        <v>25461448.921999998</v>
      </c>
      <c r="C2">
        <v>765390</v>
      </c>
      <c r="D2" s="1">
        <v>0</v>
      </c>
      <c r="E2">
        <f>SUM(B2:D2)</f>
        <v>26226838.921999998</v>
      </c>
      <c r="F2">
        <v>222</v>
      </c>
      <c r="G2">
        <v>9</v>
      </c>
      <c r="H2">
        <v>0</v>
      </c>
      <c r="I2">
        <f t="shared" ref="I2:I5" si="0">SUM(F2:H2)</f>
        <v>231</v>
      </c>
      <c r="J2">
        <v>295</v>
      </c>
      <c r="K2" s="11">
        <v>54743087</v>
      </c>
      <c r="L2" s="10">
        <v>103962784</v>
      </c>
      <c r="M2" s="12">
        <f t="shared" ref="M2:M6" si="1">K2/L2</f>
        <v>0.52656426553563629</v>
      </c>
      <c r="N2">
        <v>19256</v>
      </c>
      <c r="O2">
        <v>104677</v>
      </c>
      <c r="P2">
        <f>N2/O2</f>
        <v>0.18395636099620738</v>
      </c>
    </row>
    <row r="3" spans="1:16" ht="15">
      <c r="A3">
        <v>2017</v>
      </c>
      <c r="B3">
        <v>26500776.635000002</v>
      </c>
      <c r="C3">
        <v>832453</v>
      </c>
      <c r="D3" s="1">
        <v>0</v>
      </c>
      <c r="E3">
        <f t="shared" ref="E3:E6" si="2">SUM(B3:D3)</f>
        <v>27333229.635000002</v>
      </c>
      <c r="F3">
        <v>215</v>
      </c>
      <c r="G3">
        <v>8</v>
      </c>
      <c r="H3">
        <v>0</v>
      </c>
      <c r="I3">
        <f t="shared" si="0"/>
        <v>223</v>
      </c>
      <c r="J3">
        <v>289</v>
      </c>
      <c r="K3" s="5">
        <v>56952674</v>
      </c>
      <c r="L3" s="3">
        <v>106091229</v>
      </c>
      <c r="M3" s="12">
        <f t="shared" si="1"/>
        <v>0.53682735638777457</v>
      </c>
      <c r="N3" s="4">
        <v>21462</v>
      </c>
      <c r="O3">
        <v>100405</v>
      </c>
      <c r="P3">
        <f t="shared" ref="P3:P6" si="3">N3/O3</f>
        <v>0.21375429510482546</v>
      </c>
    </row>
    <row r="4" spans="1:16">
      <c r="A4">
        <v>2021</v>
      </c>
      <c r="B4" s="1">
        <v>27626235.498</v>
      </c>
      <c r="C4" s="2">
        <v>872931</v>
      </c>
      <c r="D4" s="1">
        <v>0</v>
      </c>
      <c r="E4">
        <f t="shared" si="2"/>
        <v>28499166.498</v>
      </c>
      <c r="F4">
        <v>189</v>
      </c>
      <c r="G4">
        <v>9</v>
      </c>
      <c r="H4">
        <v>0</v>
      </c>
      <c r="I4">
        <f t="shared" si="0"/>
        <v>198</v>
      </c>
      <c r="J4">
        <v>289</v>
      </c>
      <c r="K4">
        <v>58901616</v>
      </c>
      <c r="L4">
        <v>105320523</v>
      </c>
      <c r="M4" s="12">
        <f t="shared" si="1"/>
        <v>0.55926057260463846</v>
      </c>
      <c r="N4" s="2">
        <v>19531</v>
      </c>
      <c r="O4" s="2">
        <v>96664</v>
      </c>
      <c r="P4">
        <f t="shared" si="3"/>
        <v>0.20205040139038319</v>
      </c>
    </row>
    <row r="5" spans="1:16" ht="15">
      <c r="A5">
        <v>2024</v>
      </c>
      <c r="B5" s="1">
        <v>20867762.298999999</v>
      </c>
      <c r="C5">
        <v>730401</v>
      </c>
      <c r="D5" s="1">
        <v>0</v>
      </c>
      <c r="E5">
        <f t="shared" si="2"/>
        <v>21598163.298999999</v>
      </c>
      <c r="F5" s="1">
        <v>132</v>
      </c>
      <c r="G5">
        <v>4</v>
      </c>
      <c r="H5" s="1">
        <v>0</v>
      </c>
      <c r="I5">
        <f t="shared" si="0"/>
        <v>136</v>
      </c>
      <c r="J5">
        <v>289</v>
      </c>
      <c r="K5" s="8">
        <v>55935743</v>
      </c>
      <c r="L5" s="7">
        <v>103880749</v>
      </c>
      <c r="M5" s="12">
        <f t="shared" si="1"/>
        <v>0.53846110601301111</v>
      </c>
      <c r="N5" s="6">
        <v>17288</v>
      </c>
      <c r="O5" s="2">
        <v>95472</v>
      </c>
      <c r="P5">
        <f t="shared" si="3"/>
        <v>0.18107926931456345</v>
      </c>
    </row>
    <row r="6" spans="1:16" ht="15">
      <c r="A6">
        <v>2026</v>
      </c>
      <c r="B6">
        <v>27789183</v>
      </c>
      <c r="C6">
        <v>0</v>
      </c>
      <c r="D6" s="1">
        <v>4943331</v>
      </c>
      <c r="E6">
        <f t="shared" si="2"/>
        <v>32732514</v>
      </c>
      <c r="F6">
        <v>249</v>
      </c>
      <c r="G6">
        <v>0</v>
      </c>
      <c r="H6">
        <v>20</v>
      </c>
      <c r="I6">
        <f>SUM(F6:H6)</f>
        <v>269</v>
      </c>
      <c r="J6">
        <v>289</v>
      </c>
      <c r="K6" s="9">
        <v>58062807</v>
      </c>
      <c r="L6" s="9">
        <v>103211224</v>
      </c>
      <c r="M6" s="12">
        <f t="shared" si="1"/>
        <v>0.56256291466904806</v>
      </c>
      <c r="N6" s="4">
        <v>28966</v>
      </c>
      <c r="O6" s="4">
        <v>103380</v>
      </c>
      <c r="P6">
        <f t="shared" si="3"/>
        <v>0.28018959179725283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Mashu Sakamaki</cp:lastModifiedBy>
  <dcterms:created xsi:type="dcterms:W3CDTF">2026-02-09T17:51:19Z</dcterms:created>
  <dcterms:modified xsi:type="dcterms:W3CDTF">2026-02-09T18:29:19Z</dcterms:modified>
</cp:coreProperties>
</file>